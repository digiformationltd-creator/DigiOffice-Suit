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Pipeline" sheetId="1" r:id="rId1"/>
  </sheets>
  <calcPr fullCalcOnLoad="1"/>
</workbook>
</file>

<file path=xl/styles.xml><?xml version="1.0" encoding="utf-8"?>
<styleSheet xmlns="http://schemas.openxmlformats.org/spreadsheetml/2006/main"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dimension ref="A1:F8"/>
  <sheetViews>
    <sheetView workbookViewId="0">
      <pane ySplit="1" topLeftCell="A2" activePane="bottomLeft" state="frozen"/>
    </sheetView>
  </sheetViews>
  <sheetData>
    <row r="1">
      <c r="A1" t="inlineStr">
        <is>
          <t xml:space="preserve">Deal Name</t>
        </is>
      </c>
      <c r="B1" t="inlineStr">
        <is>
          <t xml:space="preserve">Account Executive</t>
        </is>
      </c>
      <c r="C1" t="inlineStr">
        <is>
          <t xml:space="preserve">Deal Stage</t>
        </is>
      </c>
      <c r="D1" t="inlineStr">
        <is>
          <t xml:space="preserve">Contract Value ($)</t>
        </is>
      </c>
      <c r="E1" t="inlineStr">
        <is>
          <t xml:space="preserve">Win Probability (%)</t>
        </is>
      </c>
      <c r="F1" t="inlineStr">
        <is>
          <t xml:space="preserve">Weighted Forecast ($)</t>
        </is>
      </c>
    </row>
    <row r="2">
      <c r="A2" t="inlineStr">
        <is>
          <t xml:space="preserve">Global Bank Core Modernization</t>
        </is>
      </c>
      <c r="B2" t="inlineStr">
        <is>
          <t xml:space="preserve">David Sterling</t>
        </is>
      </c>
      <c r="C2" t="inlineStr">
        <is>
          <t xml:space="preserve">Proposal / RFP</t>
        </is>
      </c>
      <c r="D2">
        <v>150000</v>
      </c>
      <c r="E2">
        <v>0.6</v>
      </c>
      <c r="F2">
        <f>D2*E2</f>
        <v>90000</v>
      </c>
    </row>
    <row r="3">
      <c r="A3" t="inlineStr">
        <is>
          <t xml:space="preserve">Apex Health EHR Integration</t>
        </is>
      </c>
      <c r="B3" t="inlineStr">
        <is>
          <t xml:space="preserve">Sarah Jenkins</t>
        </is>
      </c>
      <c r="C3" t="inlineStr">
        <is>
          <t xml:space="preserve">Technical Demo</t>
        </is>
      </c>
      <c r="D3">
        <v>85000</v>
      </c>
      <c r="E3">
        <v>0.4</v>
      </c>
      <c r="F3">
        <f>D3*E3</f>
        <v>34000</v>
      </c>
    </row>
    <row r="4">
      <c r="A4" t="inlineStr">
        <is>
          <t xml:space="preserve">Nordic Retail POS Rollout</t>
        </is>
      </c>
      <c r="B4" t="inlineStr">
        <is>
          <t xml:space="preserve">Michael Chen</t>
        </is>
      </c>
      <c r="C4" t="inlineStr">
        <is>
          <t xml:space="preserve">Contract Negotiation</t>
        </is>
      </c>
      <c r="D4">
        <v>120000</v>
      </c>
      <c r="E4">
        <v>0.85</v>
      </c>
      <c r="F4">
        <f>D4*E4</f>
        <v>102000</v>
      </c>
    </row>
    <row r="5">
      <c r="A5" t="inlineStr">
        <is>
          <t xml:space="preserve">Vanguard Cyber Defense Node</t>
        </is>
      </c>
      <c r="B5" t="inlineStr">
        <is>
          <t xml:space="preserve">David Sterling</t>
        </is>
      </c>
      <c r="C5" t="inlineStr">
        <is>
          <t xml:space="preserve">Discovery / Qualification</t>
        </is>
      </c>
      <c r="D5">
        <v>45000</v>
      </c>
      <c r="E5">
        <v>0.2</v>
      </c>
      <c r="F5">
        <f>D5*E5</f>
        <v>9000</v>
      </c>
    </row>
    <row r="6">
      <c r="A6" t="inlineStr">
        <is>
          <t xml:space="preserve">Horizon Logistics Fleet IoT</t>
        </is>
      </c>
      <c r="B6" t="inlineStr">
        <is>
          <t xml:space="preserve">Sarah Jenkins</t>
        </is>
      </c>
      <c r="C6" t="inlineStr">
        <is>
          <t xml:space="preserve">Closed Won</t>
        </is>
      </c>
      <c r="D6">
        <v>95000</v>
      </c>
      <c r="E6">
        <v>1</v>
      </c>
      <c r="F6">
        <f>D6*E6</f>
        <v>95000</v>
      </c>
    </row>
    <row r="7">
      <c r="A7" t="inlineStr">
        <is>
          <t xml:space="preserve">OmniMedia Video Caching Engine</t>
        </is>
      </c>
      <c r="B7" t="inlineStr">
        <is>
          <t xml:space="preserve">Michael Chen</t>
        </is>
      </c>
      <c r="C7" t="inlineStr">
        <is>
          <t xml:space="preserve">Proposal / RFP</t>
        </is>
      </c>
      <c r="D7">
        <v>60000</v>
      </c>
      <c r="E7">
        <v>0.5</v>
      </c>
      <c r="F7">
        <f>D7*E7</f>
        <v>30000</v>
      </c>
    </row>
    <row r="8">
      <c r="A8" t="inlineStr">
        <is>
          <t xml:space="preserve">Total Pipeline Summary</t>
        </is>
      </c>
      <c r="D8">
        <f>SUM(D2:D7)</f>
        <v>555000</v>
      </c>
      <c r="F8">
        <f>SUM(F2:F7)</f>
        <v>360000</v>
      </c>
    </row>
  </sheetData>
  <autoFilter ref="A1:F8"/>
</worksheet>
</file>