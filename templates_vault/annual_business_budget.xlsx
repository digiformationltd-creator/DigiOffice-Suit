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_Summary" sheetId="1" r:id="rId1"/>
  </sheets>
  <calcPr fullCalcOnLoad="1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dimension ref="A1:F11"/>
  <sheetViews>
    <sheetView workbookViewId="0">
      <pane ySplit="1" topLeftCell="A2" activePane="bottomLeft" state="frozen"/>
    </sheetView>
  </sheetViews>
  <sheetData>
    <row r="1">
      <c r="A1" t="inlineStr">
        <is>
          <t xml:space="preserve">Financial Category</t>
        </is>
      </c>
      <c r="B1" t="inlineStr">
        <is>
          <t xml:space="preserve">Q1 Projected</t>
        </is>
      </c>
      <c r="C1" t="inlineStr">
        <is>
          <t xml:space="preserve">Q2 Projected</t>
        </is>
      </c>
      <c r="D1" t="inlineStr">
        <is>
          <t xml:space="preserve">Q3 Projected</t>
        </is>
      </c>
      <c r="E1" t="inlineStr">
        <is>
          <t xml:space="preserve">Q4 Projected</t>
        </is>
      </c>
      <c r="F1" t="inlineStr">
        <is>
          <t xml:space="preserve">Annual Total</t>
        </is>
      </c>
    </row>
    <row r="2">
      <c r="A2" t="inlineStr">
        <is>
          <t xml:space="preserve">Software Subscription Revenue</t>
        </is>
      </c>
      <c r="B2">
        <v>125000</v>
      </c>
      <c r="C2">
        <v>145000</v>
      </c>
      <c r="D2">
        <v>160000</v>
      </c>
      <c r="E2">
        <v>185000</v>
      </c>
      <c r="F2">
        <f>SUM(B2:E2)</f>
        <v>615000</v>
      </c>
    </row>
    <row r="3">
      <c r="A3" t="inlineStr">
        <is>
          <t xml:space="preserve">Professional Services &amp; Consulting</t>
        </is>
      </c>
      <c r="B3">
        <v>45000</v>
      </c>
      <c r="C3">
        <v>52000</v>
      </c>
      <c r="D3">
        <v>58000</v>
      </c>
      <c r="E3">
        <v>65000</v>
      </c>
      <c r="F3">
        <f>SUM(B3:E3)</f>
        <v>220000</v>
      </c>
    </row>
    <row r="4">
      <c r="A4" t="inlineStr">
        <is>
          <t xml:space="preserve">Enterprise Support SLA Retainers</t>
        </is>
      </c>
      <c r="B4">
        <v>30000</v>
      </c>
      <c r="C4">
        <v>32000</v>
      </c>
      <c r="D4">
        <v>35000</v>
      </c>
      <c r="E4">
        <v>40000</v>
      </c>
      <c r="F4">
        <f>SUM(B4:E4)</f>
        <v>137000</v>
      </c>
    </row>
    <row r="5">
      <c r="A5" t="inlineStr">
        <is>
          <t xml:space="preserve">Gross Total Revenue</t>
        </is>
      </c>
      <c r="B5">
        <f>SUM(B2:B4)</f>
        <v>200000</v>
      </c>
      <c r="C5">
        <f>SUM(C2:C4)</f>
        <v>229000</v>
      </c>
      <c r="D5">
        <f>SUM(D2:D4)</f>
        <v>253000</v>
      </c>
      <c r="E5">
        <f>SUM(E2:E4)</f>
        <v>290000</v>
      </c>
      <c r="F5">
        <f>SUM(F2:F4)</f>
        <v>972000</v>
      </c>
    </row>
    <row r="6">
      <c r="A6" t="inlineStr">
        <is>
          <t xml:space="preserve">Engineering &amp; R&amp;D Salaries</t>
        </is>
      </c>
      <c r="B6">
        <v>65000</v>
      </c>
      <c r="C6">
        <v>68000</v>
      </c>
      <c r="D6">
        <v>72000</v>
      </c>
      <c r="E6">
        <v>75000</v>
      </c>
      <c r="F6">
        <f>SUM(B6:E6)</f>
        <v>280000</v>
      </c>
    </row>
    <row r="7">
      <c r="A7" t="inlineStr">
        <is>
          <t xml:space="preserve">Cloud Datacenter &amp; Server Hosting</t>
        </is>
      </c>
      <c r="B7">
        <v>12000</v>
      </c>
      <c r="C7">
        <v>13500</v>
      </c>
      <c r="D7">
        <v>15000</v>
      </c>
      <c r="E7">
        <v>16500</v>
      </c>
      <c r="F7">
        <f>SUM(B7:E7)</f>
        <v>57000</v>
      </c>
    </row>
    <row r="8">
      <c r="A8" t="inlineStr">
        <is>
          <t xml:space="preserve">Sales, Marketing &amp; Advertising</t>
        </is>
      </c>
      <c r="B8">
        <v>18000</v>
      </c>
      <c r="C8">
        <v>22000</v>
      </c>
      <c r="D8">
        <v>25000</v>
      </c>
      <c r="E8">
        <v>28000</v>
      </c>
      <c r="F8">
        <f>SUM(B8:E8)</f>
        <v>93000</v>
      </c>
    </row>
    <row r="9">
      <c r="A9" t="inlineStr">
        <is>
          <t xml:space="preserve">General &amp; Administrative (G&amp;A)</t>
        </is>
      </c>
      <c r="B9">
        <v>9000</v>
      </c>
      <c r="C9">
        <v>9500</v>
      </c>
      <c r="D9">
        <v>10000</v>
      </c>
      <c r="E9">
        <v>10500</v>
      </c>
      <c r="F9">
        <f>SUM(B9:E9)</f>
        <v>39000</v>
      </c>
    </row>
    <row r="10">
      <c r="A10" t="inlineStr">
        <is>
          <t xml:space="preserve">Total Operating Expenses (OpEx)</t>
        </is>
      </c>
      <c r="B10">
        <f>SUM(B6:B9)</f>
        <v>104000</v>
      </c>
      <c r="C10">
        <f>SUM(C6:C9)</f>
        <v>113000</v>
      </c>
      <c r="D10">
        <f>SUM(D6:D9)</f>
        <v>122000</v>
      </c>
      <c r="E10">
        <f>SUM(E6:E9)</f>
        <v>130000</v>
      </c>
      <c r="F10">
        <f>SUM(F6:F9)</f>
        <v>469000</v>
      </c>
    </row>
    <row r="11">
      <c r="A11" t="inlineStr">
        <is>
          <t xml:space="preserve">Net Operating Income (EBITDA)</t>
        </is>
      </c>
      <c r="B11">
        <f>B5-B10</f>
        <v>96000</v>
      </c>
      <c r="C11">
        <f>C5-C10</f>
        <v>116000</v>
      </c>
      <c r="D11">
        <f>D5-D10</f>
        <v>131000</v>
      </c>
      <c r="E11">
        <f>E5-E10</f>
        <v>160000</v>
      </c>
      <c r="F11">
        <f>F5-F10</f>
        <v>503000</v>
      </c>
    </row>
  </sheetData>
  <autoFilter ref="A1:F11"/>
</worksheet>
</file>