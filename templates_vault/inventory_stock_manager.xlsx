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_Inventory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8"/>
  <sheetViews>
    <sheetView workbookViewId="0">
      <pane ySplit="1" topLeftCell="A2" activePane="bottomLeft" state="frozen"/>
    </sheetView>
  </sheetViews>
  <sheetData>
    <row r="1">
      <c r="A1" t="inlineStr">
        <is>
          <t xml:space="preserve">SKU Code</t>
        </is>
      </c>
      <c r="B1" t="inlineStr">
        <is>
          <t xml:space="preserve">Item Description</t>
        </is>
      </c>
      <c r="C1" t="inlineStr">
        <is>
          <t xml:space="preserve">Category</t>
        </is>
      </c>
      <c r="D1" t="inlineStr">
        <is>
          <t xml:space="preserve">Quantity On Hand</t>
        </is>
      </c>
      <c r="E1" t="inlineStr">
        <is>
          <t xml:space="preserve">Safety Reorder Point</t>
        </is>
      </c>
      <c r="F1" t="inlineStr">
        <is>
          <t xml:space="preserve">Unit Cost ($)</t>
        </is>
      </c>
      <c r="G1" t="inlineStr">
        <is>
          <t xml:space="preserve">Total Inventory Value ($)</t>
        </is>
      </c>
    </row>
    <row r="2">
      <c r="A2" t="inlineStr">
        <is>
          <t xml:space="preserve">HW-SRV-01</t>
        </is>
      </c>
      <c r="B2" t="inlineStr">
        <is>
          <t xml:space="preserve">Enterprise Rack Server 1U</t>
        </is>
      </c>
      <c r="C2" t="inlineStr">
        <is>
          <t xml:space="preserve">Hardware</t>
        </is>
      </c>
      <c r="D2">
        <v>14</v>
      </c>
      <c r="E2">
        <v>5</v>
      </c>
      <c r="F2">
        <v>2400</v>
      </c>
      <c r="G2">
        <f>D2*F2</f>
        <v>33600</v>
      </c>
    </row>
    <row r="3">
      <c r="A3" t="inlineStr">
        <is>
          <t xml:space="preserve">NW-SW-48P</t>
        </is>
      </c>
      <c r="B3" t="inlineStr">
        <is>
          <t xml:space="preserve">48-Port Managed Switch PoE+</t>
        </is>
      </c>
      <c r="C3" t="inlineStr">
        <is>
          <t xml:space="preserve">Networking</t>
        </is>
      </c>
      <c r="D3">
        <v>32</v>
      </c>
      <c r="E3">
        <v>10</v>
      </c>
      <c r="F3">
        <v>850</v>
      </c>
      <c r="G3">
        <f>D3*F3</f>
        <v>27200</v>
      </c>
    </row>
    <row r="4">
      <c r="A4" t="inlineStr">
        <is>
          <t xml:space="preserve">CBL-CAT6-10</t>
        </is>
      </c>
      <c r="B4" t="inlineStr">
        <is>
          <t xml:space="preserve">Cat6 Patch Cable 10ft (Pack)</t>
        </is>
      </c>
      <c r="C4" t="inlineStr">
        <is>
          <t xml:space="preserve">Cables</t>
        </is>
      </c>
      <c r="D4">
        <v>150</v>
      </c>
      <c r="E4">
        <v>50</v>
      </c>
      <c r="F4">
        <v>18.5</v>
      </c>
      <c r="G4">
        <f>D4*F4</f>
        <v>2775</v>
      </c>
    </row>
    <row r="5">
      <c r="A5" t="inlineStr">
        <is>
          <t xml:space="preserve">PWR-UPS-3K</t>
        </is>
      </c>
      <c r="B5" t="inlineStr">
        <is>
          <t xml:space="preserve">3000VA Battery Backup UPS</t>
        </is>
      </c>
      <c r="C5" t="inlineStr">
        <is>
          <t xml:space="preserve">Power</t>
        </is>
      </c>
      <c r="D5">
        <v>8</v>
      </c>
      <c r="E5">
        <v>4</v>
      </c>
      <c r="F5">
        <v>1150</v>
      </c>
      <c r="G5">
        <f>D5*F5</f>
        <v>9200</v>
      </c>
    </row>
    <row r="6">
      <c r="A6" t="inlineStr">
        <is>
          <t xml:space="preserve">STOR-SSD-4T</t>
        </is>
      </c>
      <c r="B6" t="inlineStr">
        <is>
          <t xml:space="preserve">4TB Enterprise NVMe SSD</t>
        </is>
      </c>
      <c r="C6" t="inlineStr">
        <is>
          <t xml:space="preserve">Storage</t>
        </is>
      </c>
      <c r="D6">
        <v>65</v>
      </c>
      <c r="E6">
        <v>20</v>
      </c>
      <c r="F6">
        <v>320</v>
      </c>
      <c r="G6">
        <f>D6*F6</f>
        <v>20800</v>
      </c>
    </row>
    <row r="7">
      <c r="A7" t="inlineStr">
        <is>
          <t xml:space="preserve">SEC-FRL-NG</t>
        </is>
      </c>
      <c r="B7" t="inlineStr">
        <is>
          <t xml:space="preserve">NextGen Hardware Firewall</t>
        </is>
      </c>
      <c r="C7" t="inlineStr">
        <is>
          <t xml:space="preserve">Security</t>
        </is>
      </c>
      <c r="D7">
        <v>12</v>
      </c>
      <c r="E7">
        <v>6</v>
      </c>
      <c r="F7">
        <v>1750</v>
      </c>
      <c r="G7">
        <f>D7*F7</f>
        <v>21000</v>
      </c>
    </row>
    <row r="8">
      <c r="A8" t="inlineStr">
        <is>
          <t xml:space="preserve">Total Inventory Valuation</t>
        </is>
      </c>
      <c r="D8">
        <f>SUM(D2:D7)</f>
        <v>281</v>
      </c>
      <c r="G8">
        <f>SUM(G2:G7)</f>
        <v>114575</v>
      </c>
    </row>
  </sheetData>
  <autoFilter ref="A1:G8"/>
</worksheet>
</file>