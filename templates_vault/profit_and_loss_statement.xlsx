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_and_L_Statement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E11"/>
  <sheetViews>
    <sheetView workbookViewId="0">
      <pane ySplit="1" topLeftCell="A2" activePane="bottomLeft" state="frozen"/>
    </sheetView>
  </sheetViews>
  <sheetData>
    <row r="1">
      <c r="A1" t="inlineStr">
        <is>
          <t xml:space="preserve">Financial Line Item</t>
        </is>
      </c>
      <c r="B1" t="inlineStr">
        <is>
          <t xml:space="preserve">January</t>
        </is>
      </c>
      <c r="C1" t="inlineStr">
        <is>
          <t xml:space="preserve">February</t>
        </is>
      </c>
      <c r="D1" t="inlineStr">
        <is>
          <t xml:space="preserve">March</t>
        </is>
      </c>
      <c r="E1" t="inlineStr">
        <is>
          <t xml:space="preserve">Q1 Cumulative Total</t>
        </is>
      </c>
    </row>
    <row r="2">
      <c r="A2" t="inlineStr">
        <is>
          <t xml:space="preserve">Gross Sales Revenue</t>
        </is>
      </c>
      <c r="B2">
        <v>180000</v>
      </c>
      <c r="C2">
        <v>195000</v>
      </c>
      <c r="D2">
        <v>210000</v>
      </c>
      <c r="E2">
        <f>SUM(B2:D2)</f>
        <v>585000</v>
      </c>
    </row>
    <row r="3">
      <c r="A3" t="inlineStr">
        <is>
          <t xml:space="preserve">Cost of Goods Sold (COGS)</t>
        </is>
      </c>
      <c r="B3">
        <v>45000</v>
      </c>
      <c r="C3">
        <v>48000</v>
      </c>
      <c r="D3">
        <v>51000</v>
      </c>
      <c r="E3">
        <f>SUM(B3:D3)</f>
        <v>144000</v>
      </c>
    </row>
    <row r="4">
      <c r="A4" t="inlineStr">
        <is>
          <t xml:space="preserve">Gross Profit</t>
        </is>
      </c>
      <c r="B4">
        <f>B2-B3</f>
        <v>135000</v>
      </c>
      <c r="C4">
        <f>C2-C3</f>
        <v>147000</v>
      </c>
      <c r="D4">
        <f>D2-D3</f>
        <v>159000</v>
      </c>
      <c r="E4">
        <f>SUM(B4:D4)</f>
        <v>441000</v>
      </c>
    </row>
    <row r="5">
      <c r="A5" t="inlineStr">
        <is>
          <t xml:space="preserve">Sales &amp; Marketing Expenses</t>
        </is>
      </c>
      <c r="B5">
        <v>28000</v>
      </c>
      <c r="C5">
        <v>31000</v>
      </c>
      <c r="D5">
        <v>33000</v>
      </c>
      <c r="E5">
        <f>SUM(B5:D5)</f>
        <v>92000</v>
      </c>
    </row>
    <row r="6">
      <c r="A6" t="inlineStr">
        <is>
          <t xml:space="preserve">Research &amp; Development (R&amp;D)</t>
        </is>
      </c>
      <c r="B6">
        <v>42000</v>
      </c>
      <c r="C6">
        <v>44000</v>
      </c>
      <c r="D6">
        <v>45000</v>
      </c>
      <c r="E6">
        <f>SUM(B6:D6)</f>
        <v>131000</v>
      </c>
    </row>
    <row r="7">
      <c r="A7" t="inlineStr">
        <is>
          <t xml:space="preserve">General &amp; Administrative (G&amp;A)</t>
        </is>
      </c>
      <c r="B7">
        <v>15000</v>
      </c>
      <c r="C7">
        <v>15500</v>
      </c>
      <c r="D7">
        <v>16000</v>
      </c>
      <c r="E7">
        <f>SUM(B7:D7)</f>
        <v>46500</v>
      </c>
    </row>
    <row r="8">
      <c r="A8" t="inlineStr">
        <is>
          <t xml:space="preserve">Total Operating Expenses</t>
        </is>
      </c>
      <c r="B8">
        <f>SUM(B5:B7)</f>
        <v>85000</v>
      </c>
      <c r="C8">
        <f>SUM(C5:C7)</f>
        <v>90500</v>
      </c>
      <c r="D8">
        <f>SUM(D5:D7)</f>
        <v>94000</v>
      </c>
      <c r="E8">
        <f>SUM(E5:E7)</f>
        <v>269500</v>
      </c>
    </row>
    <row r="9">
      <c r="A9" t="inlineStr">
        <is>
          <t xml:space="preserve">Operating Income (EBITDA)</t>
        </is>
      </c>
      <c r="B9">
        <f>B4-B8</f>
        <v>50000</v>
      </c>
      <c r="C9">
        <f>C4-C8</f>
        <v>56500</v>
      </c>
      <c r="D9">
        <f>D4-D8</f>
        <v>65000</v>
      </c>
      <c r="E9">
        <f>E4-E8</f>
        <v>171500</v>
      </c>
    </row>
    <row r="10">
      <c r="A10" t="inlineStr">
        <is>
          <t xml:space="preserve">Taxes &amp; Interest (15%)</t>
        </is>
      </c>
      <c r="B10">
        <f>B9*0.15</f>
        <v>7500</v>
      </c>
      <c r="C10">
        <f>C9*0.15</f>
        <v>8475</v>
      </c>
      <c r="D10">
        <f>D9*0.15</f>
        <v>9750</v>
      </c>
      <c r="E10">
        <f>E9*0.15</f>
        <v>25725</v>
      </c>
    </row>
    <row r="11">
      <c r="A11" t="inlineStr">
        <is>
          <t xml:space="preserve">Net Profit After Tax</t>
        </is>
      </c>
      <c r="B11">
        <f>B9-B10</f>
        <v>42500</v>
      </c>
      <c r="C11">
        <f>C9-C10</f>
        <v>48025</v>
      </c>
      <c r="D11">
        <f>D9-D10</f>
        <v>55250</v>
      </c>
      <c r="E11">
        <f>E9-E10</f>
        <v>145775</v>
      </c>
    </row>
  </sheetData>
  <autoFilter ref="A1:E11"/>
</worksheet>
</file>