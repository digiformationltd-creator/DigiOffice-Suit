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_Payroll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I7"/>
  <sheetViews>
    <sheetView workbookViewId="0">
      <pane ySplit="1" topLeftCell="A2" activePane="bottomLeft" state="frozen"/>
    </sheetView>
  </sheetViews>
  <sheetData>
    <row r="1">
      <c r="A1" t="inlineStr">
        <is>
          <t xml:space="preserve">Emp ID</t>
        </is>
      </c>
      <c r="B1" t="inlineStr">
        <is>
          <t xml:space="preserve">Full Name</t>
        </is>
      </c>
      <c r="C1" t="inlineStr">
        <is>
          <t xml:space="preserve">Department</t>
        </is>
      </c>
      <c r="D1" t="inlineStr">
        <is>
          <t xml:space="preserve">Base Monthly ($)</t>
        </is>
      </c>
      <c r="E1" t="inlineStr">
        <is>
          <t xml:space="preserve">Overtime Pay ($)</t>
        </is>
      </c>
      <c r="F1" t="inlineStr">
        <is>
          <t xml:space="preserve">Gross Salary ($)</t>
        </is>
      </c>
      <c r="G1" t="inlineStr">
        <is>
          <t xml:space="preserve">Tax Withholding (20%)</t>
        </is>
      </c>
      <c r="H1" t="inlineStr">
        <is>
          <t xml:space="preserve">Health &amp; Dental ($)</t>
        </is>
      </c>
      <c r="I1" t="inlineStr">
        <is>
          <t xml:space="preserve">Net Pay ($)</t>
        </is>
      </c>
    </row>
    <row r="2">
      <c r="A2" t="inlineStr">
        <is>
          <t xml:space="preserve">EMP-001</t>
        </is>
      </c>
      <c r="B2" t="inlineStr">
        <is>
          <t xml:space="preserve">Marcus Alexander</t>
        </is>
      </c>
      <c r="C2" t="inlineStr">
        <is>
          <t xml:space="preserve">Engineering</t>
        </is>
      </c>
      <c r="D2">
        <v>11500</v>
      </c>
      <c r="E2">
        <v>750</v>
      </c>
      <c r="F2">
        <f>D2+E2</f>
        <v>12250</v>
      </c>
      <c r="G2">
        <f>F2*0.20</f>
        <v>2450</v>
      </c>
      <c r="H2">
        <v>350</v>
      </c>
      <c r="I2">
        <f>F2-G2-H2</f>
        <v>9450</v>
      </c>
    </row>
    <row r="3">
      <c r="A3" t="inlineStr">
        <is>
          <t xml:space="preserve">EMP-002</t>
        </is>
      </c>
      <c r="B3" t="inlineStr">
        <is>
          <t xml:space="preserve">Elena Rostova</t>
        </is>
      </c>
      <c r="C3" t="inlineStr">
        <is>
          <t xml:space="preserve">Design &amp; UI/UX</t>
        </is>
      </c>
      <c r="D3">
        <v>9200</v>
      </c>
      <c r="E3">
        <v>300</v>
      </c>
      <c r="F3">
        <f>D3+E3</f>
        <v>9500</v>
      </c>
      <c r="G3">
        <f>F3*0.20</f>
        <v>1900</v>
      </c>
      <c r="H3">
        <v>350</v>
      </c>
      <c r="I3">
        <f>F3-G3-H3</f>
        <v>7250</v>
      </c>
    </row>
    <row r="4">
      <c r="A4" t="inlineStr">
        <is>
          <t xml:space="preserve">EMP-003</t>
        </is>
      </c>
      <c r="B4" t="inlineStr">
        <is>
          <t xml:space="preserve">David Sterling</t>
        </is>
      </c>
      <c r="C4" t="inlineStr">
        <is>
          <t xml:space="preserve">Product Management</t>
        </is>
      </c>
      <c r="D4">
        <v>10800</v>
      </c>
      <c r="E4">
        <v>0</v>
      </c>
      <c r="F4">
        <f>D4+E4</f>
        <v>10800</v>
      </c>
      <c r="G4">
        <f>F4*0.20</f>
        <v>2160</v>
      </c>
      <c r="H4">
        <v>350</v>
      </c>
      <c r="I4">
        <f>F4-G4-H4</f>
        <v>8290</v>
      </c>
    </row>
    <row r="5">
      <c r="A5" t="inlineStr">
        <is>
          <t xml:space="preserve">EMP-004</t>
        </is>
      </c>
      <c r="B5" t="inlineStr">
        <is>
          <t xml:space="preserve">Sarah Jenkins</t>
        </is>
      </c>
      <c r="C5" t="inlineStr">
        <is>
          <t xml:space="preserve">Enterprise Sales</t>
        </is>
      </c>
      <c r="D5">
        <v>8500</v>
      </c>
      <c r="E5">
        <v>2200</v>
      </c>
      <c r="F5">
        <f>D5+E5</f>
        <v>10700</v>
      </c>
      <c r="G5">
        <f>F5*0.20</f>
        <v>2140</v>
      </c>
      <c r="H5">
        <v>350</v>
      </c>
      <c r="I5">
        <f>F5-G5-H5</f>
        <v>8210</v>
      </c>
    </row>
    <row r="6">
      <c r="A6" t="inlineStr">
        <is>
          <t xml:space="preserve">EMP-005</t>
        </is>
      </c>
      <c r="B6" t="inlineStr">
        <is>
          <t xml:space="preserve">Michael Chen</t>
        </is>
      </c>
      <c r="C6" t="inlineStr">
        <is>
          <t xml:space="preserve">Customer Success</t>
        </is>
      </c>
      <c r="D6">
        <v>7400</v>
      </c>
      <c r="E6">
        <v>450</v>
      </c>
      <c r="F6">
        <f>D6+E6</f>
        <v>7850</v>
      </c>
      <c r="G6">
        <f>F6*0.20</f>
        <v>1570</v>
      </c>
      <c r="H6">
        <v>350</v>
      </c>
      <c r="I6">
        <f>F6-G6-H6</f>
        <v>5930</v>
      </c>
    </row>
    <row r="7">
      <c r="A7" t="inlineStr">
        <is>
          <t xml:space="preserve">Department Totals</t>
        </is>
      </c>
      <c r="D7">
        <f>SUM(D2:D6)</f>
        <v>47400</v>
      </c>
      <c r="E7">
        <f>SUM(E2:E6)</f>
        <v>3700</v>
      </c>
      <c r="F7">
        <f>SUM(F2:F6)</f>
        <v>51100</v>
      </c>
      <c r="G7">
        <f>SUM(G2:G6)</f>
        <v>10220</v>
      </c>
      <c r="H7">
        <f>SUM(H2:H6)</f>
        <v>1750</v>
      </c>
      <c r="I7">
        <f>SUM(I2:I6)</f>
        <v>39130</v>
      </c>
    </row>
  </sheetData>
  <autoFilter ref="A1:I7"/>
</worksheet>
</file>